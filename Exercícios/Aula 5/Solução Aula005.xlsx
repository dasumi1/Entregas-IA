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<sst xmlns="http://schemas.openxmlformats.org/spreadsheetml/2006/main" count="130" uniqueCount="40">
  <si>
    <t>Tipo de Lente</t>
  </si>
  <si>
    <t>Proporção</t>
  </si>
  <si>
    <t>Log</t>
  </si>
  <si>
    <t>Entropia</t>
  </si>
  <si>
    <t>Nenhuma</t>
  </si>
  <si>
    <t>Gelatinosa</t>
  </si>
  <si>
    <t>Dura</t>
  </si>
  <si>
    <t>Entropia Total</t>
  </si>
  <si>
    <t>Idade</t>
  </si>
  <si>
    <t>IG</t>
  </si>
  <si>
    <t>Infantil</t>
  </si>
  <si>
    <t>N</t>
  </si>
  <si>
    <t>G</t>
  </si>
  <si>
    <t>D</t>
  </si>
  <si>
    <t>Entropia Infantil</t>
  </si>
  <si>
    <t>Adolescente</t>
  </si>
  <si>
    <t>Entropia Adolescente</t>
  </si>
  <si>
    <t>Adulto</t>
  </si>
  <si>
    <t>Entropia do Adulto</t>
  </si>
  <si>
    <t>Taxa Lacrimal</t>
  </si>
  <si>
    <t>Normal</t>
  </si>
  <si>
    <t>Entropia Normal</t>
  </si>
  <si>
    <t/>
  </si>
  <si>
    <t>Reduzida</t>
  </si>
  <si>
    <t>Entropia Reduzida</t>
  </si>
  <si>
    <t>Total</t>
  </si>
  <si>
    <t>Nenhum</t>
  </si>
  <si>
    <t>Quantidade</t>
  </si>
  <si>
    <t>P</t>
  </si>
  <si>
    <t>-P*Log</t>
  </si>
  <si>
    <t>Criança</t>
  </si>
  <si>
    <t>Diagnóstico</t>
  </si>
  <si>
    <t>Miopia</t>
  </si>
  <si>
    <t>Hipermetropia</t>
  </si>
  <si>
    <t>Astigmatismo</t>
  </si>
  <si>
    <t>Sim</t>
  </si>
  <si>
    <t>Não</t>
  </si>
  <si>
    <t>Log na base 2</t>
  </si>
  <si>
    <t>produto</t>
  </si>
  <si>
    <t>Idoso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</si>
</sst>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D2" s="1" t="s">
        <v>1</v>
      </c>
      <c r="E2" s="1" t="s">
        <v>2</v>
      </c>
      <c r="F2" s="1" t="s">
        <v>3</v>
      </c>
    </row>
    <row r="3">
      <c r="A3" s="1" t="s">
        <v>4</v>
      </c>
      <c r="B3" s="1">
        <v>3.0</v>
      </c>
      <c r="C3" s="1">
        <v>15.0</v>
      </c>
      <c r="D3" s="2">
        <f t="shared" ref="D3:D5" si="1">B3/C3</f>
        <v>0.2</v>
      </c>
      <c r="E3" s="2">
        <f t="shared" ref="E3:E5" si="2">log(D3,2)</f>
        <v>-2.321928095</v>
      </c>
      <c r="F3" s="2">
        <f t="shared" ref="F3:F5" si="3">-(D3*E3)</f>
        <v>0.464385619</v>
      </c>
    </row>
    <row r="4">
      <c r="A4" s="1" t="s">
        <v>5</v>
      </c>
      <c r="B4" s="1">
        <v>8.0</v>
      </c>
      <c r="C4" s="1">
        <v>15.0</v>
      </c>
      <c r="D4" s="2">
        <f t="shared" si="1"/>
        <v>0.5333333333</v>
      </c>
      <c r="E4" s="2">
        <f t="shared" si="2"/>
        <v>-0.9068905956</v>
      </c>
      <c r="F4" s="2">
        <f t="shared" si="3"/>
        <v>0.4836749843</v>
      </c>
    </row>
    <row r="5">
      <c r="A5" s="1" t="s">
        <v>6</v>
      </c>
      <c r="B5" s="1">
        <v>4.0</v>
      </c>
      <c r="C5" s="1">
        <v>15.0</v>
      </c>
      <c r="D5" s="2">
        <f t="shared" si="1"/>
        <v>0.2666666667</v>
      </c>
      <c r="E5" s="2">
        <f t="shared" si="2"/>
        <v>-1.906890596</v>
      </c>
      <c r="F5" s="2">
        <f t="shared" si="3"/>
        <v>0.5085041588</v>
      </c>
    </row>
    <row r="6">
      <c r="E6" s="1" t="s">
        <v>7</v>
      </c>
      <c r="F6" s="2">
        <f>SUM(F3:F5)</f>
        <v>1.456564762</v>
      </c>
    </row>
    <row r="9">
      <c r="A9" s="1" t="s">
        <v>8</v>
      </c>
      <c r="G9" s="1" t="s">
        <v>9</v>
      </c>
      <c r="H9" s="2">
        <f>F6-G10-G15-G20</f>
        <v>0.04860373021</v>
      </c>
    </row>
    <row r="10">
      <c r="A10" s="1" t="s">
        <v>10</v>
      </c>
      <c r="B10" s="1">
        <v>4.0</v>
      </c>
      <c r="C10" s="2">
        <f>B10/15</f>
        <v>0.2666666667</v>
      </c>
      <c r="G10" s="2">
        <f>C10*F14</f>
        <v>0.4</v>
      </c>
    </row>
    <row r="11">
      <c r="A11" s="1" t="s">
        <v>11</v>
      </c>
      <c r="B11" s="1">
        <v>1.0</v>
      </c>
      <c r="C11" s="1">
        <v>4.0</v>
      </c>
      <c r="D11" s="2">
        <f t="shared" ref="D11:D13" si="4">B11/C11</f>
        <v>0.25</v>
      </c>
      <c r="E11" s="2">
        <f t="shared" ref="E11:E13" si="5">log(D11,2)</f>
        <v>-2</v>
      </c>
      <c r="F11" s="2">
        <f t="shared" ref="F11:F13" si="6">-(D11*E11)</f>
        <v>0.5</v>
      </c>
    </row>
    <row r="12">
      <c r="A12" s="1" t="s">
        <v>12</v>
      </c>
      <c r="B12" s="1">
        <v>2.0</v>
      </c>
      <c r="C12" s="1">
        <v>4.0</v>
      </c>
      <c r="D12" s="2">
        <f t="shared" si="4"/>
        <v>0.5</v>
      </c>
      <c r="E12" s="2">
        <f t="shared" si="5"/>
        <v>-1</v>
      </c>
      <c r="F12" s="2">
        <f t="shared" si="6"/>
        <v>0.5</v>
      </c>
    </row>
    <row r="13">
      <c r="A13" s="1" t="s">
        <v>13</v>
      </c>
      <c r="B13" s="1">
        <v>1.0</v>
      </c>
      <c r="C13" s="1">
        <v>4.0</v>
      </c>
      <c r="D13" s="2">
        <f t="shared" si="4"/>
        <v>0.25</v>
      </c>
      <c r="E13" s="2">
        <f t="shared" si="5"/>
        <v>-2</v>
      </c>
      <c r="F13" s="2">
        <f t="shared" si="6"/>
        <v>0.5</v>
      </c>
    </row>
    <row r="14">
      <c r="E14" s="1" t="s">
        <v>14</v>
      </c>
      <c r="F14" s="2">
        <f>SUM(F11:F13)</f>
        <v>1.5</v>
      </c>
    </row>
    <row r="15">
      <c r="A15" s="1" t="s">
        <v>15</v>
      </c>
      <c r="B15" s="1">
        <v>5.0</v>
      </c>
      <c r="C15" s="2">
        <f>B15/15</f>
        <v>0.3333333333</v>
      </c>
      <c r="G15" s="2">
        <f>C15*F19</f>
        <v>0.507309365</v>
      </c>
    </row>
    <row r="16">
      <c r="A16" s="1" t="s">
        <v>11</v>
      </c>
      <c r="B16" s="1">
        <v>1.0</v>
      </c>
      <c r="C16" s="1">
        <v>5.0</v>
      </c>
      <c r="D16" s="2">
        <f t="shared" ref="D16:D18" si="7">B16/C16</f>
        <v>0.2</v>
      </c>
      <c r="E16" s="2">
        <f t="shared" ref="E16:E18" si="8">log(D16,2)</f>
        <v>-2.321928095</v>
      </c>
      <c r="F16" s="2">
        <f t="shared" ref="F16:F18" si="9">-(D16*E16)</f>
        <v>0.464385619</v>
      </c>
    </row>
    <row r="17">
      <c r="A17" s="1" t="s">
        <v>12</v>
      </c>
      <c r="B17" s="1">
        <v>2.0</v>
      </c>
      <c r="C17" s="1">
        <v>5.0</v>
      </c>
      <c r="D17" s="2">
        <f t="shared" si="7"/>
        <v>0.4</v>
      </c>
      <c r="E17" s="2">
        <f t="shared" si="8"/>
        <v>-1.321928095</v>
      </c>
      <c r="F17" s="2">
        <f t="shared" si="9"/>
        <v>0.528771238</v>
      </c>
    </row>
    <row r="18">
      <c r="A18" s="1" t="s">
        <v>13</v>
      </c>
      <c r="B18" s="1">
        <v>2.0</v>
      </c>
      <c r="C18" s="1">
        <v>5.0</v>
      </c>
      <c r="D18" s="2">
        <f t="shared" si="7"/>
        <v>0.4</v>
      </c>
      <c r="E18" s="2">
        <f t="shared" si="8"/>
        <v>-1.321928095</v>
      </c>
      <c r="F18" s="2">
        <f t="shared" si="9"/>
        <v>0.528771238</v>
      </c>
    </row>
    <row r="19">
      <c r="E19" s="1" t="s">
        <v>16</v>
      </c>
      <c r="F19" s="2">
        <f>SUM(F16:F18)</f>
        <v>1.521928095</v>
      </c>
    </row>
    <row r="20">
      <c r="A20" s="1" t="s">
        <v>17</v>
      </c>
      <c r="B20" s="1">
        <v>6.0</v>
      </c>
      <c r="C20" s="2">
        <f>B20/15</f>
        <v>0.4</v>
      </c>
      <c r="G20" s="2">
        <f>C20*F24</f>
        <v>0.500651667</v>
      </c>
    </row>
    <row r="21">
      <c r="A21" s="1" t="s">
        <v>11</v>
      </c>
      <c r="B21" s="1">
        <v>1.0</v>
      </c>
      <c r="C21" s="1">
        <v>6.0</v>
      </c>
      <c r="D21" s="2">
        <f t="shared" ref="D21:D23" si="10">B21/C21</f>
        <v>0.1666666667</v>
      </c>
      <c r="E21" s="2">
        <f t="shared" ref="E21:E23" si="11">log(D21,2)</f>
        <v>-2.584962501</v>
      </c>
      <c r="F21" s="2">
        <f t="shared" ref="F21:F23" si="12">-(D21*E21)</f>
        <v>0.4308270835</v>
      </c>
    </row>
    <row r="22">
      <c r="A22" s="1" t="s">
        <v>12</v>
      </c>
      <c r="B22" s="1">
        <v>4.0</v>
      </c>
      <c r="C22" s="1">
        <v>6.0</v>
      </c>
      <c r="D22" s="2">
        <f t="shared" si="10"/>
        <v>0.6666666667</v>
      </c>
      <c r="E22" s="2">
        <f t="shared" si="11"/>
        <v>-0.5849625007</v>
      </c>
      <c r="F22" s="2">
        <f t="shared" si="12"/>
        <v>0.3899750005</v>
      </c>
    </row>
    <row r="23">
      <c r="A23" s="1" t="s">
        <v>13</v>
      </c>
      <c r="B23" s="1">
        <v>1.0</v>
      </c>
      <c r="C23" s="1">
        <v>6.0</v>
      </c>
      <c r="D23" s="2">
        <f t="shared" si="10"/>
        <v>0.1666666667</v>
      </c>
      <c r="E23" s="2">
        <f t="shared" si="11"/>
        <v>-2.584962501</v>
      </c>
      <c r="F23" s="2">
        <f t="shared" si="12"/>
        <v>0.4308270835</v>
      </c>
    </row>
    <row r="24">
      <c r="E24" s="1" t="s">
        <v>18</v>
      </c>
      <c r="F24" s="2">
        <f>SUM(F21:F23)</f>
        <v>1.251629167</v>
      </c>
    </row>
    <row r="25">
      <c r="A25" s="3"/>
      <c r="B25" s="3"/>
      <c r="C25" s="3"/>
      <c r="D25" s="3"/>
      <c r="E25" s="3"/>
      <c r="F25" s="3"/>
      <c r="G25" s="3"/>
    </row>
    <row r="26">
      <c r="A26" s="1" t="s">
        <v>19</v>
      </c>
      <c r="G26" s="1" t="s">
        <v>9</v>
      </c>
      <c r="H26" s="2">
        <f>F6-G27-G32</f>
        <v>0.4856141677</v>
      </c>
    </row>
    <row r="27">
      <c r="A27" s="1" t="s">
        <v>20</v>
      </c>
      <c r="C27" s="2">
        <f>10/15</f>
        <v>0.6666666667</v>
      </c>
      <c r="G27" s="2">
        <f>F31*C27</f>
        <v>0.6473003963</v>
      </c>
    </row>
    <row r="28">
      <c r="A28" s="1" t="s">
        <v>11</v>
      </c>
      <c r="B28" s="1">
        <v>0.0</v>
      </c>
      <c r="C28" s="1">
        <v>10.0</v>
      </c>
      <c r="D28" s="2">
        <f t="shared" ref="D28:D30" si="13">B28/C28</f>
        <v>0</v>
      </c>
      <c r="E28" s="1">
        <v>0.0</v>
      </c>
      <c r="F28" s="1">
        <v>0.0</v>
      </c>
    </row>
    <row r="29">
      <c r="A29" s="1" t="s">
        <v>12</v>
      </c>
      <c r="B29" s="1">
        <v>6.0</v>
      </c>
      <c r="C29" s="1">
        <v>10.0</v>
      </c>
      <c r="D29" s="2">
        <f t="shared" si="13"/>
        <v>0.6</v>
      </c>
      <c r="E29" s="2">
        <f t="shared" ref="E29:E30" si="14">log(D29,2)</f>
        <v>-0.7369655942</v>
      </c>
      <c r="F29" s="2">
        <f t="shared" ref="F29:F30" si="15">-(D29*E29)</f>
        <v>0.4421793565</v>
      </c>
    </row>
    <row r="30">
      <c r="A30" s="1" t="s">
        <v>13</v>
      </c>
      <c r="B30" s="1">
        <v>4.0</v>
      </c>
      <c r="C30" s="1">
        <v>10.0</v>
      </c>
      <c r="D30" s="2">
        <f t="shared" si="13"/>
        <v>0.4</v>
      </c>
      <c r="E30" s="2">
        <f t="shared" si="14"/>
        <v>-1.321928095</v>
      </c>
      <c r="F30" s="2">
        <f t="shared" si="15"/>
        <v>0.528771238</v>
      </c>
    </row>
    <row r="31">
      <c r="E31" s="1" t="s">
        <v>21</v>
      </c>
      <c r="F31" s="2">
        <f>SUM(F28:F30)</f>
        <v>0.9709505945</v>
      </c>
      <c r="G31" s="4" t="s">
        <v>22</v>
      </c>
    </row>
    <row r="32">
      <c r="A32" s="1" t="s">
        <v>23</v>
      </c>
      <c r="C32" s="2">
        <f>5/15</f>
        <v>0.3333333333</v>
      </c>
      <c r="G32" s="2">
        <f>F36*C32</f>
        <v>0.3236501982</v>
      </c>
    </row>
    <row r="33">
      <c r="A33" s="1" t="s">
        <v>11</v>
      </c>
      <c r="B33" s="1">
        <v>3.0</v>
      </c>
      <c r="C33" s="1">
        <v>5.0</v>
      </c>
      <c r="D33" s="2">
        <f t="shared" ref="D33:D35" si="16">B33/C33</f>
        <v>0.6</v>
      </c>
      <c r="E33" s="2">
        <f t="shared" ref="E33:E34" si="17">log(D33,2)</f>
        <v>-0.7369655942</v>
      </c>
      <c r="F33" s="2">
        <f t="shared" ref="F33:F34" si="18">-(D33*E33)</f>
        <v>0.4421793565</v>
      </c>
    </row>
    <row r="34">
      <c r="A34" s="1" t="s">
        <v>12</v>
      </c>
      <c r="B34" s="1">
        <v>2.0</v>
      </c>
      <c r="C34" s="1">
        <v>5.0</v>
      </c>
      <c r="D34" s="2">
        <f t="shared" si="16"/>
        <v>0.4</v>
      </c>
      <c r="E34" s="2">
        <f t="shared" si="17"/>
        <v>-1.321928095</v>
      </c>
      <c r="F34" s="2">
        <f t="shared" si="18"/>
        <v>0.528771238</v>
      </c>
    </row>
    <row r="35">
      <c r="A35" s="1" t="s">
        <v>13</v>
      </c>
      <c r="B35" s="1">
        <v>0.0</v>
      </c>
      <c r="C35" s="1">
        <v>5.0</v>
      </c>
      <c r="D35" s="2">
        <f t="shared" si="16"/>
        <v>0</v>
      </c>
      <c r="E35" s="1">
        <v>0.0</v>
      </c>
    </row>
    <row r="36">
      <c r="E36" s="1" t="s">
        <v>24</v>
      </c>
      <c r="F36" s="2">
        <f>SUM(F33:F35)</f>
        <v>0.9709505945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25</v>
      </c>
      <c r="C1" s="1">
        <v>15.0</v>
      </c>
    </row>
    <row r="2">
      <c r="D2" s="1" t="s">
        <v>26</v>
      </c>
      <c r="I2" s="1" t="s">
        <v>5</v>
      </c>
      <c r="N2" s="1" t="s">
        <v>6</v>
      </c>
    </row>
    <row r="3">
      <c r="A3" s="1"/>
      <c r="B3" s="1" t="s">
        <v>27</v>
      </c>
      <c r="C3" s="1" t="s">
        <v>25</v>
      </c>
      <c r="D3" s="1" t="s">
        <v>28</v>
      </c>
      <c r="E3" s="1" t="s">
        <v>2</v>
      </c>
      <c r="F3" s="1" t="s">
        <v>29</v>
      </c>
      <c r="G3" s="1" t="s">
        <v>27</v>
      </c>
      <c r="H3" s="1" t="s">
        <v>25</v>
      </c>
      <c r="I3" s="1" t="s">
        <v>28</v>
      </c>
      <c r="J3" s="1" t="s">
        <v>2</v>
      </c>
      <c r="K3" s="1" t="s">
        <v>29</v>
      </c>
      <c r="L3" s="1" t="s">
        <v>27</v>
      </c>
      <c r="M3" s="1" t="s">
        <v>25</v>
      </c>
      <c r="N3" s="1" t="s">
        <v>28</v>
      </c>
      <c r="O3" s="1" t="s">
        <v>2</v>
      </c>
      <c r="P3" s="1" t="s">
        <v>29</v>
      </c>
      <c r="Q3" s="1" t="s">
        <v>3</v>
      </c>
    </row>
    <row r="4">
      <c r="A4" s="1"/>
      <c r="B4" s="1">
        <v>3.0</v>
      </c>
      <c r="C4" s="1">
        <v>15.0</v>
      </c>
      <c r="D4" s="2">
        <f>B4/C4</f>
        <v>0.2</v>
      </c>
      <c r="E4" s="1">
        <f>log(D4,2)</f>
        <v>-2.321928095</v>
      </c>
      <c r="F4" s="2">
        <f>-D4*E4</f>
        <v>0.464385619</v>
      </c>
      <c r="G4" s="1">
        <v>8.0</v>
      </c>
      <c r="H4" s="1">
        <v>15.0</v>
      </c>
      <c r="I4" s="2">
        <f>G4/H4</f>
        <v>0.5333333333</v>
      </c>
      <c r="J4" s="1">
        <f>log(I4,2)</f>
        <v>-0.9068905956</v>
      </c>
      <c r="K4" s="2">
        <f>-I4*J4</f>
        <v>0.4836749843</v>
      </c>
      <c r="L4" s="1">
        <v>4.0</v>
      </c>
      <c r="M4" s="1">
        <v>15.0</v>
      </c>
      <c r="N4" s="2">
        <f>L4/M4</f>
        <v>0.2666666667</v>
      </c>
      <c r="O4" s="1">
        <f>log(N4,2)</f>
        <v>-1.906890596</v>
      </c>
      <c r="P4" s="2">
        <f>-N4*O4</f>
        <v>0.5085041588</v>
      </c>
      <c r="Q4" s="2">
        <f>F4+K4+P4</f>
        <v>1.456564762</v>
      </c>
    </row>
    <row r="6">
      <c r="B6" s="1" t="s">
        <v>8</v>
      </c>
    </row>
    <row r="7">
      <c r="A7" s="1"/>
      <c r="B7" s="1" t="s">
        <v>30</v>
      </c>
      <c r="G7" s="1" t="s">
        <v>15</v>
      </c>
      <c r="L7" s="1" t="s">
        <v>17</v>
      </c>
    </row>
    <row r="8">
      <c r="A8" s="1" t="s">
        <v>26</v>
      </c>
      <c r="B8" s="1">
        <v>1.0</v>
      </c>
      <c r="C8" s="1">
        <v>4.0</v>
      </c>
      <c r="D8" s="2">
        <f t="shared" ref="D8:D10" si="1">B8/C8</f>
        <v>0.25</v>
      </c>
      <c r="E8" s="1">
        <f t="shared" ref="E8:E10" si="2">log(D8,2)</f>
        <v>-2</v>
      </c>
      <c r="F8" s="2">
        <f t="shared" ref="F8:F10" si="3">-D8*E8</f>
        <v>0.5</v>
      </c>
      <c r="G8" s="1">
        <v>1.0</v>
      </c>
      <c r="H8" s="1">
        <v>5.0</v>
      </c>
      <c r="I8" s="2">
        <f t="shared" ref="I8:I10" si="4">G8/H8</f>
        <v>0.2</v>
      </c>
      <c r="J8" s="1">
        <f t="shared" ref="J8:J10" si="5">log(I8,2)</f>
        <v>-2.321928095</v>
      </c>
      <c r="K8" s="2">
        <f t="shared" ref="K8:K10" si="6">-I8*J8</f>
        <v>0.464385619</v>
      </c>
      <c r="L8" s="1">
        <v>1.0</v>
      </c>
      <c r="M8" s="1">
        <v>6.0</v>
      </c>
      <c r="N8" s="2">
        <f t="shared" ref="N8:N10" si="7">L8/M8</f>
        <v>0.1666666667</v>
      </c>
      <c r="O8" s="1">
        <f t="shared" ref="O8:O10" si="8">log(N8,2)</f>
        <v>-2.584962501</v>
      </c>
      <c r="P8" s="2">
        <f t="shared" ref="P8:P10" si="9">-N8*O8</f>
        <v>0.4308270835</v>
      </c>
    </row>
    <row r="9">
      <c r="A9" s="1" t="s">
        <v>5</v>
      </c>
      <c r="B9" s="1">
        <v>2.0</v>
      </c>
      <c r="C9" s="1">
        <v>4.0</v>
      </c>
      <c r="D9" s="2">
        <f t="shared" si="1"/>
        <v>0.5</v>
      </c>
      <c r="E9" s="1">
        <f t="shared" si="2"/>
        <v>-1</v>
      </c>
      <c r="F9" s="2">
        <f t="shared" si="3"/>
        <v>0.5</v>
      </c>
      <c r="G9" s="1">
        <v>2.0</v>
      </c>
      <c r="H9" s="1">
        <v>5.0</v>
      </c>
      <c r="I9" s="2">
        <f t="shared" si="4"/>
        <v>0.4</v>
      </c>
      <c r="J9" s="1">
        <f t="shared" si="5"/>
        <v>-1.321928095</v>
      </c>
      <c r="K9" s="2">
        <f t="shared" si="6"/>
        <v>0.528771238</v>
      </c>
      <c r="L9" s="1">
        <v>4.0</v>
      </c>
      <c r="M9" s="1">
        <v>6.0</v>
      </c>
      <c r="N9" s="2">
        <f t="shared" si="7"/>
        <v>0.6666666667</v>
      </c>
      <c r="O9" s="1">
        <f t="shared" si="8"/>
        <v>-0.5849625007</v>
      </c>
      <c r="P9" s="2">
        <f t="shared" si="9"/>
        <v>0.3899750005</v>
      </c>
    </row>
    <row r="10">
      <c r="A10" s="1" t="s">
        <v>6</v>
      </c>
      <c r="B10" s="1">
        <v>1.0</v>
      </c>
      <c r="C10" s="1">
        <v>4.0</v>
      </c>
      <c r="D10" s="2">
        <f t="shared" si="1"/>
        <v>0.25</v>
      </c>
      <c r="E10" s="1">
        <f t="shared" si="2"/>
        <v>-2</v>
      </c>
      <c r="F10" s="2">
        <f t="shared" si="3"/>
        <v>0.5</v>
      </c>
      <c r="G10" s="1">
        <v>2.0</v>
      </c>
      <c r="H10" s="1">
        <v>5.0</v>
      </c>
      <c r="I10" s="2">
        <f t="shared" si="4"/>
        <v>0.4</v>
      </c>
      <c r="J10" s="1">
        <f t="shared" si="5"/>
        <v>-1.321928095</v>
      </c>
      <c r="K10" s="2">
        <f t="shared" si="6"/>
        <v>0.528771238</v>
      </c>
      <c r="L10" s="1">
        <v>1.0</v>
      </c>
      <c r="M10" s="1">
        <v>6.0</v>
      </c>
      <c r="N10" s="2">
        <f t="shared" si="7"/>
        <v>0.1666666667</v>
      </c>
      <c r="O10" s="1">
        <f t="shared" si="8"/>
        <v>-2.584962501</v>
      </c>
      <c r="P10" s="2">
        <f t="shared" si="9"/>
        <v>0.4308270835</v>
      </c>
    </row>
    <row r="11">
      <c r="A11" s="1" t="s">
        <v>9</v>
      </c>
      <c r="E11" s="1">
        <f>4/15</f>
        <v>0.2666666667</v>
      </c>
      <c r="F11" s="2">
        <f>SUM(F7:F10)</f>
        <v>1.5</v>
      </c>
      <c r="G11" s="2">
        <f>E11*F11</f>
        <v>0.4</v>
      </c>
      <c r="J11" s="2">
        <f>5/15</f>
        <v>0.3333333333</v>
      </c>
      <c r="K11" s="2">
        <f>SUM(K7:K10)</f>
        <v>1.521928095</v>
      </c>
      <c r="L11" s="2">
        <f>J11*K11</f>
        <v>0.507309365</v>
      </c>
      <c r="O11" s="1">
        <f>6/15</f>
        <v>0.4</v>
      </c>
      <c r="P11" s="2">
        <f>SUM(P7:P10)</f>
        <v>1.251629167</v>
      </c>
      <c r="Q11" s="2">
        <f>O11*P11</f>
        <v>0.500651667</v>
      </c>
      <c r="R11" s="2">
        <f>Q4-G11-L11-Q11</f>
        <v>0.04860373021</v>
      </c>
    </row>
    <row r="13">
      <c r="B13" s="1" t="s">
        <v>31</v>
      </c>
    </row>
    <row r="14">
      <c r="A14" s="1"/>
      <c r="B14" s="1" t="s">
        <v>32</v>
      </c>
      <c r="G14" s="1" t="s">
        <v>33</v>
      </c>
    </row>
    <row r="15">
      <c r="A15" s="1" t="s">
        <v>26</v>
      </c>
      <c r="B15" s="1">
        <v>2.0</v>
      </c>
      <c r="C15" s="1">
        <v>8.0</v>
      </c>
      <c r="D15" s="2">
        <f t="shared" ref="D15:D17" si="10">B15/C15</f>
        <v>0.25</v>
      </c>
      <c r="E15" s="1">
        <f t="shared" ref="E15:E17" si="11">log(D15,2)</f>
        <v>-2</v>
      </c>
      <c r="F15" s="2">
        <f t="shared" ref="F15:F17" si="12">-D15*E15</f>
        <v>0.5</v>
      </c>
      <c r="G15" s="1">
        <v>1.0</v>
      </c>
      <c r="H15" s="1">
        <v>7.0</v>
      </c>
      <c r="I15" s="2">
        <f t="shared" ref="I15:I17" si="13">G15/H15</f>
        <v>0.1428571429</v>
      </c>
      <c r="J15" s="1">
        <f t="shared" ref="J15:J17" si="14">log(I15,2)</f>
        <v>-2.807354922</v>
      </c>
      <c r="K15" s="2">
        <f t="shared" ref="K15:K17" si="15">-I15*J15</f>
        <v>0.4010507032</v>
      </c>
    </row>
    <row r="16">
      <c r="A16" s="1" t="s">
        <v>5</v>
      </c>
      <c r="B16" s="1">
        <v>4.0</v>
      </c>
      <c r="C16" s="1">
        <v>8.0</v>
      </c>
      <c r="D16" s="2">
        <f t="shared" si="10"/>
        <v>0.5</v>
      </c>
      <c r="E16" s="1">
        <f t="shared" si="11"/>
        <v>-1</v>
      </c>
      <c r="F16" s="2">
        <f t="shared" si="12"/>
        <v>0.5</v>
      </c>
      <c r="G16" s="1">
        <v>4.0</v>
      </c>
      <c r="H16" s="1">
        <v>7.0</v>
      </c>
      <c r="I16" s="2">
        <f t="shared" si="13"/>
        <v>0.5714285714</v>
      </c>
      <c r="J16" s="1">
        <f t="shared" si="14"/>
        <v>-0.8073549221</v>
      </c>
      <c r="K16" s="2">
        <f t="shared" si="15"/>
        <v>0.4613456697</v>
      </c>
    </row>
    <row r="17">
      <c r="A17" s="1" t="s">
        <v>6</v>
      </c>
      <c r="B17" s="1">
        <v>2.0</v>
      </c>
      <c r="C17" s="1">
        <v>8.0</v>
      </c>
      <c r="D17" s="2">
        <f t="shared" si="10"/>
        <v>0.25</v>
      </c>
      <c r="E17" s="1">
        <f t="shared" si="11"/>
        <v>-2</v>
      </c>
      <c r="F17" s="2">
        <f t="shared" si="12"/>
        <v>0.5</v>
      </c>
      <c r="G17" s="1">
        <v>2.0</v>
      </c>
      <c r="H17" s="1">
        <v>7.0</v>
      </c>
      <c r="I17" s="2">
        <f t="shared" si="13"/>
        <v>0.2857142857</v>
      </c>
      <c r="J17" s="1">
        <f t="shared" si="14"/>
        <v>-1.807354922</v>
      </c>
      <c r="K17" s="2">
        <f t="shared" si="15"/>
        <v>0.5163871206</v>
      </c>
    </row>
    <row r="18">
      <c r="A18" s="1" t="s">
        <v>9</v>
      </c>
      <c r="E18" s="1">
        <f>8/15</f>
        <v>0.5333333333</v>
      </c>
      <c r="F18" s="2">
        <f>SUM(F14:F17)</f>
        <v>1.5</v>
      </c>
      <c r="G18" s="2">
        <f>E18*F18</f>
        <v>0.8</v>
      </c>
      <c r="J18" s="2">
        <f>7/15</f>
        <v>0.4666666667</v>
      </c>
      <c r="K18" s="2">
        <f>SUM(K14:K17)</f>
        <v>1.378783493</v>
      </c>
      <c r="L18" s="2">
        <f>J18*K18</f>
        <v>0.643432297</v>
      </c>
      <c r="M18" s="2">
        <f>Q4-G18-L18</f>
        <v>0.01313246517</v>
      </c>
    </row>
    <row r="20">
      <c r="B20" s="1" t="s">
        <v>34</v>
      </c>
    </row>
    <row r="21">
      <c r="A21" s="1"/>
      <c r="B21" s="1" t="s">
        <v>35</v>
      </c>
      <c r="G21" s="1" t="s">
        <v>36</v>
      </c>
    </row>
    <row r="22">
      <c r="A22" s="1" t="s">
        <v>26</v>
      </c>
      <c r="B22" s="1">
        <v>1.0</v>
      </c>
      <c r="C22" s="1">
        <v>7.0</v>
      </c>
      <c r="D22" s="2">
        <f t="shared" ref="D22:D24" si="16">B22/C22</f>
        <v>0.1428571429</v>
      </c>
      <c r="E22" s="1">
        <f t="shared" ref="E22:E24" si="17">log(D22,2)</f>
        <v>-2.807354922</v>
      </c>
      <c r="F22" s="2">
        <f t="shared" ref="F22:F24" si="18">-D22*E22</f>
        <v>0.4010507032</v>
      </c>
      <c r="G22" s="1">
        <v>2.0</v>
      </c>
      <c r="H22" s="1">
        <v>8.0</v>
      </c>
      <c r="I22" s="2">
        <f t="shared" ref="I22:I24" si="19">G22/H22</f>
        <v>0.25</v>
      </c>
      <c r="J22" s="1">
        <f t="shared" ref="J22:J24" si="20">log(I22,2)</f>
        <v>-2</v>
      </c>
      <c r="K22" s="2">
        <f t="shared" ref="K22:K24" si="21">-I22*J22</f>
        <v>0.5</v>
      </c>
    </row>
    <row r="23">
      <c r="A23" s="1" t="s">
        <v>5</v>
      </c>
      <c r="B23" s="1">
        <v>3.0</v>
      </c>
      <c r="C23" s="1">
        <v>7.0</v>
      </c>
      <c r="D23" s="2">
        <f t="shared" si="16"/>
        <v>0.4285714286</v>
      </c>
      <c r="E23" s="1">
        <f t="shared" si="17"/>
        <v>-1.222392421</v>
      </c>
      <c r="F23" s="2">
        <f t="shared" si="18"/>
        <v>0.5238824663</v>
      </c>
      <c r="G23" s="1">
        <v>5.0</v>
      </c>
      <c r="H23" s="1">
        <v>8.0</v>
      </c>
      <c r="I23" s="2">
        <f t="shared" si="19"/>
        <v>0.625</v>
      </c>
      <c r="J23" s="1">
        <f t="shared" si="20"/>
        <v>-0.6780719051</v>
      </c>
      <c r="K23" s="2">
        <f t="shared" si="21"/>
        <v>0.4237949407</v>
      </c>
    </row>
    <row r="24">
      <c r="A24" s="1" t="s">
        <v>6</v>
      </c>
      <c r="B24" s="1">
        <v>3.0</v>
      </c>
      <c r="C24" s="1">
        <v>7.0</v>
      </c>
      <c r="D24" s="2">
        <f t="shared" si="16"/>
        <v>0.4285714286</v>
      </c>
      <c r="E24" s="1">
        <f t="shared" si="17"/>
        <v>-1.222392421</v>
      </c>
      <c r="F24" s="2">
        <f t="shared" si="18"/>
        <v>0.5238824663</v>
      </c>
      <c r="G24" s="1">
        <v>1.0</v>
      </c>
      <c r="H24" s="1">
        <v>8.0</v>
      </c>
      <c r="I24" s="2">
        <f t="shared" si="19"/>
        <v>0.125</v>
      </c>
      <c r="J24" s="1">
        <f t="shared" si="20"/>
        <v>-3</v>
      </c>
      <c r="K24" s="2">
        <f t="shared" si="21"/>
        <v>0.375</v>
      </c>
    </row>
    <row r="25">
      <c r="A25" s="1" t="s">
        <v>9</v>
      </c>
      <c r="E25" s="1">
        <f>7/15</f>
        <v>0.4666666667</v>
      </c>
      <c r="F25" s="2">
        <f>SUM(F21:F24)</f>
        <v>1.448815636</v>
      </c>
      <c r="G25" s="2">
        <f>E25*F25</f>
        <v>0.6761139633</v>
      </c>
      <c r="J25" s="2">
        <f>8/15</f>
        <v>0.5333333333</v>
      </c>
      <c r="K25" s="2">
        <f>SUM(K21:K24)</f>
        <v>1.298794941</v>
      </c>
      <c r="L25" s="2">
        <f>J25*K25</f>
        <v>0.692690635</v>
      </c>
      <c r="M25" s="2">
        <f>Q4-G25-L25</f>
        <v>0.08776016375</v>
      </c>
    </row>
    <row r="27">
      <c r="B27" s="1" t="s">
        <v>19</v>
      </c>
    </row>
    <row r="28">
      <c r="A28" s="1"/>
      <c r="B28" s="1" t="s">
        <v>20</v>
      </c>
      <c r="G28" s="1" t="s">
        <v>23</v>
      </c>
    </row>
    <row r="29">
      <c r="A29" s="1" t="s">
        <v>26</v>
      </c>
      <c r="B29" s="1">
        <v>0.0</v>
      </c>
      <c r="C29" s="1">
        <v>10.0</v>
      </c>
      <c r="D29" s="2">
        <f t="shared" ref="D29:D31" si="22">B29/C29</f>
        <v>0</v>
      </c>
      <c r="E29" s="5">
        <v>0.0</v>
      </c>
      <c r="F29" s="2">
        <f t="shared" ref="F29:F31" si="23">-D29*E29</f>
        <v>0</v>
      </c>
      <c r="G29" s="1">
        <v>3.0</v>
      </c>
      <c r="H29" s="1">
        <v>5.0</v>
      </c>
      <c r="I29" s="2">
        <f t="shared" ref="I29:I31" si="24">G29/H29</f>
        <v>0.6</v>
      </c>
      <c r="J29" s="1">
        <f t="shared" ref="J29:J30" si="25">log(I29,2)</f>
        <v>-0.7369655942</v>
      </c>
      <c r="K29" s="2">
        <f t="shared" ref="K29:K31" si="26">-I29*J29</f>
        <v>0.4421793565</v>
      </c>
    </row>
    <row r="30">
      <c r="A30" s="1" t="s">
        <v>5</v>
      </c>
      <c r="B30" s="1">
        <v>6.0</v>
      </c>
      <c r="C30" s="1">
        <v>10.0</v>
      </c>
      <c r="D30" s="2">
        <f t="shared" si="22"/>
        <v>0.6</v>
      </c>
      <c r="E30" s="1">
        <f t="shared" ref="E30:E31" si="27">log(D30,2)</f>
        <v>-0.7369655942</v>
      </c>
      <c r="F30" s="2">
        <f t="shared" si="23"/>
        <v>0.4421793565</v>
      </c>
      <c r="G30" s="1">
        <v>2.0</v>
      </c>
      <c r="H30" s="1">
        <v>5.0</v>
      </c>
      <c r="I30" s="2">
        <f t="shared" si="24"/>
        <v>0.4</v>
      </c>
      <c r="J30" s="1">
        <f t="shared" si="25"/>
        <v>-1.321928095</v>
      </c>
      <c r="K30" s="2">
        <f t="shared" si="26"/>
        <v>0.528771238</v>
      </c>
    </row>
    <row r="31">
      <c r="A31" s="1" t="s">
        <v>6</v>
      </c>
      <c r="B31" s="1">
        <v>4.0</v>
      </c>
      <c r="C31" s="1">
        <v>10.0</v>
      </c>
      <c r="D31" s="2">
        <f t="shared" si="22"/>
        <v>0.4</v>
      </c>
      <c r="E31" s="1">
        <f t="shared" si="27"/>
        <v>-1.321928095</v>
      </c>
      <c r="F31" s="2">
        <f t="shared" si="23"/>
        <v>0.528771238</v>
      </c>
      <c r="G31" s="1">
        <v>0.0</v>
      </c>
      <c r="H31" s="1">
        <v>5.0</v>
      </c>
      <c r="I31" s="2">
        <f t="shared" si="24"/>
        <v>0</v>
      </c>
      <c r="J31" s="5">
        <v>0.0</v>
      </c>
      <c r="K31" s="2">
        <f t="shared" si="26"/>
        <v>0</v>
      </c>
    </row>
    <row r="32">
      <c r="A32" s="1" t="s">
        <v>9</v>
      </c>
      <c r="E32" s="1">
        <f>10/15</f>
        <v>0.6666666667</v>
      </c>
      <c r="F32" s="2">
        <f>SUM(F28:F31)</f>
        <v>0.9709505945</v>
      </c>
      <c r="G32" s="2">
        <f>E32*F32</f>
        <v>0.6473003963</v>
      </c>
      <c r="J32" s="2">
        <f>5/15</f>
        <v>0.3333333333</v>
      </c>
      <c r="K32" s="2">
        <f>SUM(K28:K31)</f>
        <v>0.9709505945</v>
      </c>
      <c r="L32" s="2">
        <f>J32*K32</f>
        <v>0.3236501982</v>
      </c>
      <c r="M32" s="2">
        <f>Q4-G32-L32</f>
        <v>0.4856141677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8.5"/>
  </cols>
  <sheetData>
    <row r="1">
      <c r="A1" s="1"/>
      <c r="B1" s="1" t="s">
        <v>25</v>
      </c>
      <c r="C1" s="1">
        <v>15.0</v>
      </c>
    </row>
    <row r="3">
      <c r="A3" s="1"/>
      <c r="B3" s="1" t="s">
        <v>26</v>
      </c>
      <c r="D3" s="1" t="s">
        <v>1</v>
      </c>
      <c r="E3" s="1" t="s">
        <v>37</v>
      </c>
      <c r="F3" s="1" t="s">
        <v>38</v>
      </c>
      <c r="G3" s="1" t="s">
        <v>5</v>
      </c>
      <c r="I3" s="1" t="s">
        <v>1</v>
      </c>
      <c r="J3" s="1" t="s">
        <v>37</v>
      </c>
      <c r="K3" s="1" t="s">
        <v>38</v>
      </c>
      <c r="L3" s="1" t="s">
        <v>6</v>
      </c>
      <c r="N3" s="1" t="s">
        <v>1</v>
      </c>
      <c r="O3" s="1" t="s">
        <v>37</v>
      </c>
      <c r="P3" s="1" t="s">
        <v>38</v>
      </c>
      <c r="Q3" s="1" t="s">
        <v>3</v>
      </c>
    </row>
    <row r="4">
      <c r="A4" s="1"/>
      <c r="B4" s="1">
        <v>3.0</v>
      </c>
      <c r="C4" s="1">
        <v>15.0</v>
      </c>
      <c r="D4" s="2">
        <f>B4/C4</f>
        <v>0.2</v>
      </c>
      <c r="E4" s="2">
        <f>log(D3:D4,2)</f>
        <v>-2.321928095</v>
      </c>
      <c r="F4" s="2">
        <f>-D4*E4</f>
        <v>0.464385619</v>
      </c>
      <c r="G4" s="1">
        <v>8.0</v>
      </c>
      <c r="H4" s="1">
        <v>15.0</v>
      </c>
      <c r="I4" s="2">
        <f>G4/H4</f>
        <v>0.5333333333</v>
      </c>
      <c r="J4" s="2">
        <f>log(I3:I4,2)</f>
        <v>-0.9068905956</v>
      </c>
      <c r="K4" s="2">
        <f>-I4*J4</f>
        <v>0.4836749843</v>
      </c>
      <c r="L4" s="1">
        <v>4.0</v>
      </c>
      <c r="M4" s="1">
        <v>15.0</v>
      </c>
      <c r="N4" s="2">
        <f>L4/M4</f>
        <v>0.2666666667</v>
      </c>
      <c r="O4" s="2">
        <f>log(N3:N4,2)</f>
        <v>-1.906890596</v>
      </c>
      <c r="P4" s="2">
        <f>-N4*O4</f>
        <v>0.5085041588</v>
      </c>
      <c r="Q4" s="2">
        <f>F4+K4+P4</f>
        <v>1.456564762</v>
      </c>
    </row>
    <row r="6">
      <c r="B6" s="1" t="s">
        <v>8</v>
      </c>
    </row>
    <row r="7">
      <c r="A7" s="1"/>
      <c r="D7" s="1" t="s">
        <v>30</v>
      </c>
      <c r="I7" s="1" t="s">
        <v>17</v>
      </c>
      <c r="N7" s="1" t="s">
        <v>39</v>
      </c>
    </row>
    <row r="8">
      <c r="A8" s="1" t="s">
        <v>26</v>
      </c>
      <c r="B8" s="1">
        <v>1.0</v>
      </c>
      <c r="C8" s="1">
        <v>4.0</v>
      </c>
      <c r="D8" s="2">
        <f t="shared" ref="D8:D10" si="1">B8/C8</f>
        <v>0.25</v>
      </c>
      <c r="E8" s="2">
        <f t="shared" ref="E8:E10" si="2">log(D7:D8,2)</f>
        <v>-2</v>
      </c>
      <c r="F8" s="2">
        <f t="shared" ref="F8:F10" si="3">-D8*E8</f>
        <v>0.5</v>
      </c>
      <c r="G8" s="1">
        <v>1.0</v>
      </c>
      <c r="H8" s="1">
        <v>5.0</v>
      </c>
      <c r="I8" s="2">
        <f t="shared" ref="I8:I10" si="4">G8/H8</f>
        <v>0.2</v>
      </c>
      <c r="J8" s="2">
        <f t="shared" ref="J8:J10" si="5">log(I7:I8,2)</f>
        <v>-2.321928095</v>
      </c>
      <c r="K8" s="2">
        <f t="shared" ref="K8:K10" si="6">-I8*J8</f>
        <v>0.464385619</v>
      </c>
      <c r="L8" s="1">
        <v>1.0</v>
      </c>
      <c r="M8" s="1">
        <v>6.0</v>
      </c>
      <c r="N8" s="2">
        <f t="shared" ref="N8:N10" si="7">L8/M8</f>
        <v>0.1666666667</v>
      </c>
      <c r="O8" s="2">
        <f t="shared" ref="O8:O10" si="8">log(N7:N8,2)</f>
        <v>-2.584962501</v>
      </c>
      <c r="P8" s="2">
        <f t="shared" ref="P8:P10" si="9">-N8*O8</f>
        <v>0.4308270835</v>
      </c>
    </row>
    <row r="9">
      <c r="A9" s="1" t="s">
        <v>5</v>
      </c>
      <c r="B9" s="1">
        <v>2.0</v>
      </c>
      <c r="C9" s="1">
        <v>4.0</v>
      </c>
      <c r="D9" s="2">
        <f t="shared" si="1"/>
        <v>0.5</v>
      </c>
      <c r="E9" s="2">
        <f t="shared" si="2"/>
        <v>-1</v>
      </c>
      <c r="F9" s="2">
        <f t="shared" si="3"/>
        <v>0.5</v>
      </c>
      <c r="G9" s="1">
        <v>2.0</v>
      </c>
      <c r="H9" s="1">
        <v>5.0</v>
      </c>
      <c r="I9" s="2">
        <f t="shared" si="4"/>
        <v>0.4</v>
      </c>
      <c r="J9" s="2">
        <f t="shared" si="5"/>
        <v>-1.321928095</v>
      </c>
      <c r="K9" s="2">
        <f t="shared" si="6"/>
        <v>0.528771238</v>
      </c>
      <c r="L9" s="1">
        <v>4.0</v>
      </c>
      <c r="M9" s="1">
        <v>6.0</v>
      </c>
      <c r="N9" s="2">
        <f t="shared" si="7"/>
        <v>0.6666666667</v>
      </c>
      <c r="O9" s="2">
        <f t="shared" si="8"/>
        <v>-0.5849625007</v>
      </c>
      <c r="P9" s="2">
        <f t="shared" si="9"/>
        <v>0.3899750005</v>
      </c>
    </row>
    <row r="10">
      <c r="A10" s="1" t="s">
        <v>6</v>
      </c>
      <c r="B10" s="1">
        <v>1.0</v>
      </c>
      <c r="C10" s="1">
        <v>4.0</v>
      </c>
      <c r="D10" s="2">
        <f t="shared" si="1"/>
        <v>0.25</v>
      </c>
      <c r="E10" s="2">
        <f t="shared" si="2"/>
        <v>-2</v>
      </c>
      <c r="F10" s="2">
        <f t="shared" si="3"/>
        <v>0.5</v>
      </c>
      <c r="G10" s="1">
        <v>2.0</v>
      </c>
      <c r="H10" s="1">
        <v>5.0</v>
      </c>
      <c r="I10" s="2">
        <f t="shared" si="4"/>
        <v>0.4</v>
      </c>
      <c r="J10" s="2">
        <f t="shared" si="5"/>
        <v>-1.321928095</v>
      </c>
      <c r="K10" s="2">
        <f t="shared" si="6"/>
        <v>0.528771238</v>
      </c>
      <c r="L10" s="1">
        <v>1.0</v>
      </c>
      <c r="M10" s="1">
        <v>6.0</v>
      </c>
      <c r="N10" s="2">
        <f t="shared" si="7"/>
        <v>0.1666666667</v>
      </c>
      <c r="O10" s="2">
        <f t="shared" si="8"/>
        <v>-2.584962501</v>
      </c>
      <c r="P10" s="2">
        <f t="shared" si="9"/>
        <v>0.4308270835</v>
      </c>
      <c r="R10" s="1" t="s">
        <v>9</v>
      </c>
    </row>
    <row r="11">
      <c r="A11" s="1">
        <v>15.0</v>
      </c>
      <c r="C11" s="1">
        <v>4.0</v>
      </c>
      <c r="F11" s="2">
        <f>SUM(F7:F10)</f>
        <v>1.5</v>
      </c>
      <c r="H11" s="1">
        <v>5.0</v>
      </c>
      <c r="K11" s="2">
        <f>SUM(K7:K10)</f>
        <v>1.521928095</v>
      </c>
      <c r="M11" s="1">
        <v>6.0</v>
      </c>
      <c r="P11" s="2">
        <f>SUM(P7:P10)</f>
        <v>1.251629167</v>
      </c>
      <c r="Q11" s="2">
        <f>(C11*F11+H11*K11+M11*P11)/A11</f>
        <v>1.407961032</v>
      </c>
      <c r="R11" s="6">
        <f>Q4-Q11</f>
        <v>0.04860373021</v>
      </c>
    </row>
    <row r="13">
      <c r="B13" s="1" t="s">
        <v>31</v>
      </c>
    </row>
    <row r="14">
      <c r="A14" s="1"/>
      <c r="D14" s="1" t="s">
        <v>32</v>
      </c>
      <c r="I14" s="1" t="s">
        <v>33</v>
      </c>
    </row>
    <row r="15">
      <c r="A15" s="1" t="s">
        <v>26</v>
      </c>
      <c r="B15" s="1">
        <v>2.0</v>
      </c>
      <c r="C15" s="1">
        <v>8.0</v>
      </c>
      <c r="D15" s="2">
        <f t="shared" ref="D15:D17" si="10">B15/C15</f>
        <v>0.25</v>
      </c>
      <c r="E15" s="2">
        <f t="shared" ref="E15:E17" si="11">log(D14:D15,2)</f>
        <v>-2</v>
      </c>
      <c r="F15" s="2">
        <f t="shared" ref="F15:F17" si="12">-D15*E15</f>
        <v>0.5</v>
      </c>
      <c r="G15" s="1">
        <v>1.0</v>
      </c>
      <c r="H15" s="1">
        <v>7.0</v>
      </c>
      <c r="I15" s="2">
        <f t="shared" ref="I15:I17" si="13">G15/H15</f>
        <v>0.1428571429</v>
      </c>
      <c r="J15" s="2">
        <f t="shared" ref="J15:J17" si="14">log(I14:I15,2)</f>
        <v>-2.807354922</v>
      </c>
      <c r="K15" s="2">
        <f t="shared" ref="K15:K17" si="15">-I15*J15</f>
        <v>0.4010507032</v>
      </c>
    </row>
    <row r="16">
      <c r="A16" s="1" t="s">
        <v>5</v>
      </c>
      <c r="B16" s="1">
        <v>4.0</v>
      </c>
      <c r="C16" s="1">
        <v>8.0</v>
      </c>
      <c r="D16" s="2">
        <f t="shared" si="10"/>
        <v>0.5</v>
      </c>
      <c r="E16" s="2">
        <f t="shared" si="11"/>
        <v>-1</v>
      </c>
      <c r="F16" s="2">
        <f t="shared" si="12"/>
        <v>0.5</v>
      </c>
      <c r="G16" s="1">
        <v>4.0</v>
      </c>
      <c r="H16" s="1">
        <v>7.0</v>
      </c>
      <c r="I16" s="2">
        <f t="shared" si="13"/>
        <v>0.5714285714</v>
      </c>
      <c r="J16" s="2">
        <f t="shared" si="14"/>
        <v>-0.8073549221</v>
      </c>
      <c r="K16" s="2">
        <f t="shared" si="15"/>
        <v>0.4613456697</v>
      </c>
    </row>
    <row r="17">
      <c r="A17" s="1" t="s">
        <v>6</v>
      </c>
      <c r="B17" s="1">
        <v>2.0</v>
      </c>
      <c r="C17" s="1">
        <v>8.0</v>
      </c>
      <c r="D17" s="2">
        <f t="shared" si="10"/>
        <v>0.25</v>
      </c>
      <c r="E17" s="2">
        <f t="shared" si="11"/>
        <v>-2</v>
      </c>
      <c r="F17" s="2">
        <f t="shared" si="12"/>
        <v>0.5</v>
      </c>
      <c r="G17" s="1">
        <v>2.0</v>
      </c>
      <c r="H17" s="1">
        <v>7.0</v>
      </c>
      <c r="I17" s="2">
        <f t="shared" si="13"/>
        <v>0.2857142857</v>
      </c>
      <c r="J17" s="2">
        <f t="shared" si="14"/>
        <v>-1.807354922</v>
      </c>
      <c r="K17" s="2">
        <f t="shared" si="15"/>
        <v>0.5163871206</v>
      </c>
      <c r="M17" s="1" t="s">
        <v>9</v>
      </c>
    </row>
    <row r="18">
      <c r="A18" s="1">
        <v>15.0</v>
      </c>
      <c r="C18" s="1">
        <v>8.0</v>
      </c>
      <c r="F18" s="2">
        <f>SUM(F14:F17)</f>
        <v>1.5</v>
      </c>
      <c r="H18" s="1">
        <v>7.0</v>
      </c>
      <c r="K18" s="2">
        <f>SUM(K14:K17)</f>
        <v>1.378783493</v>
      </c>
      <c r="L18" s="2">
        <f>(C18*F18+H18*K18)/A18</f>
        <v>1.443432297</v>
      </c>
      <c r="M18" s="6">
        <f>Q4-L18</f>
        <v>0.01313246517</v>
      </c>
    </row>
    <row r="20">
      <c r="B20" s="1" t="s">
        <v>34</v>
      </c>
    </row>
    <row r="21">
      <c r="A21" s="1"/>
      <c r="D21" s="1" t="s">
        <v>35</v>
      </c>
      <c r="I21" s="1" t="s">
        <v>36</v>
      </c>
    </row>
    <row r="22">
      <c r="A22" s="1" t="s">
        <v>26</v>
      </c>
      <c r="B22" s="1">
        <v>1.0</v>
      </c>
      <c r="C22" s="1">
        <v>7.0</v>
      </c>
      <c r="D22" s="2">
        <f t="shared" ref="D22:D24" si="16">B22/C22</f>
        <v>0.1428571429</v>
      </c>
      <c r="E22" s="2">
        <f t="shared" ref="E22:E24" si="17">log(D21:D22,2)</f>
        <v>-2.807354922</v>
      </c>
      <c r="F22" s="2">
        <f t="shared" ref="F22:F24" si="18">-D22*E22</f>
        <v>0.4010507032</v>
      </c>
      <c r="G22" s="1">
        <v>2.0</v>
      </c>
      <c r="H22" s="1">
        <v>8.0</v>
      </c>
      <c r="I22" s="2">
        <f t="shared" ref="I22:I24" si="19">G22/H22</f>
        <v>0.25</v>
      </c>
      <c r="J22" s="2">
        <f t="shared" ref="J22:J24" si="20">log(I21:I22,2)</f>
        <v>-2</v>
      </c>
      <c r="K22" s="2">
        <f t="shared" ref="K22:K24" si="21">-I22*J22</f>
        <v>0.5</v>
      </c>
    </row>
    <row r="23">
      <c r="A23" s="1" t="s">
        <v>5</v>
      </c>
      <c r="B23" s="1">
        <v>3.0</v>
      </c>
      <c r="C23" s="1">
        <v>7.0</v>
      </c>
      <c r="D23" s="2">
        <f t="shared" si="16"/>
        <v>0.4285714286</v>
      </c>
      <c r="E23" s="2">
        <f t="shared" si="17"/>
        <v>-1.222392421</v>
      </c>
      <c r="F23" s="2">
        <f t="shared" si="18"/>
        <v>0.5238824663</v>
      </c>
      <c r="G23" s="1">
        <v>5.0</v>
      </c>
      <c r="H23" s="1">
        <v>8.0</v>
      </c>
      <c r="I23" s="2">
        <f t="shared" si="19"/>
        <v>0.625</v>
      </c>
      <c r="J23" s="2">
        <f t="shared" si="20"/>
        <v>-0.6780719051</v>
      </c>
      <c r="K23" s="2">
        <f t="shared" si="21"/>
        <v>0.4237949407</v>
      </c>
    </row>
    <row r="24">
      <c r="A24" s="1" t="s">
        <v>6</v>
      </c>
      <c r="B24" s="1">
        <v>3.0</v>
      </c>
      <c r="C24" s="1">
        <v>7.0</v>
      </c>
      <c r="D24" s="2">
        <f t="shared" si="16"/>
        <v>0.4285714286</v>
      </c>
      <c r="E24" s="2">
        <f t="shared" si="17"/>
        <v>-1.222392421</v>
      </c>
      <c r="F24" s="2">
        <f t="shared" si="18"/>
        <v>0.5238824663</v>
      </c>
      <c r="G24" s="1">
        <v>1.0</v>
      </c>
      <c r="H24" s="1">
        <v>8.0</v>
      </c>
      <c r="I24" s="2">
        <f t="shared" si="19"/>
        <v>0.125</v>
      </c>
      <c r="J24" s="2">
        <f t="shared" si="20"/>
        <v>-3</v>
      </c>
      <c r="K24" s="2">
        <f t="shared" si="21"/>
        <v>0.375</v>
      </c>
      <c r="M24" s="1" t="s">
        <v>9</v>
      </c>
    </row>
    <row r="25">
      <c r="A25" s="1">
        <v>15.0</v>
      </c>
      <c r="C25" s="1">
        <v>7.0</v>
      </c>
      <c r="F25" s="2">
        <f>SUM(F21:F24)</f>
        <v>1.448815636</v>
      </c>
      <c r="H25" s="1">
        <v>8.0</v>
      </c>
      <c r="K25" s="2">
        <f>SUM(K21:K24)</f>
        <v>1.298794941</v>
      </c>
      <c r="L25" s="2">
        <f>(C25*F25+H25*K25)/A25</f>
        <v>1.368804598</v>
      </c>
      <c r="M25" s="6">
        <f>Q4-L25</f>
        <v>0.08776016375</v>
      </c>
    </row>
    <row r="27">
      <c r="B27" s="1" t="s">
        <v>19</v>
      </c>
    </row>
    <row r="28">
      <c r="A28" s="1"/>
      <c r="D28" s="1" t="s">
        <v>20</v>
      </c>
      <c r="I28" s="1" t="s">
        <v>23</v>
      </c>
    </row>
    <row r="29">
      <c r="A29" s="1" t="s">
        <v>26</v>
      </c>
      <c r="B29" s="1">
        <v>0.0</v>
      </c>
      <c r="C29" s="1">
        <v>10.0</v>
      </c>
      <c r="D29" s="2">
        <f t="shared" ref="D29:D31" si="22">B29/C29</f>
        <v>0</v>
      </c>
      <c r="E29" s="1">
        <v>0.0</v>
      </c>
      <c r="F29" s="2">
        <f t="shared" ref="F29:F31" si="23">-D29*E29</f>
        <v>0</v>
      </c>
      <c r="G29" s="1">
        <v>3.0</v>
      </c>
      <c r="H29" s="1">
        <v>5.0</v>
      </c>
      <c r="I29" s="2">
        <f t="shared" ref="I29:I31" si="24">G29/H29</f>
        <v>0.6</v>
      </c>
      <c r="J29" s="2">
        <f t="shared" ref="J29:J30" si="25">log(I28:I29,2)</f>
        <v>-0.7369655942</v>
      </c>
      <c r="K29" s="2">
        <f t="shared" ref="K29:K31" si="26">-I29*J29</f>
        <v>0.4421793565</v>
      </c>
    </row>
    <row r="30">
      <c r="A30" s="1" t="s">
        <v>5</v>
      </c>
      <c r="B30" s="1">
        <v>6.0</v>
      </c>
      <c r="C30" s="1">
        <v>10.0</v>
      </c>
      <c r="D30" s="2">
        <f t="shared" si="22"/>
        <v>0.6</v>
      </c>
      <c r="E30" s="2">
        <f t="shared" ref="E30:E31" si="27">log(D29:D30,2)</f>
        <v>-0.7369655942</v>
      </c>
      <c r="F30" s="2">
        <f t="shared" si="23"/>
        <v>0.4421793565</v>
      </c>
      <c r="G30" s="1">
        <v>2.0</v>
      </c>
      <c r="H30" s="1">
        <v>5.0</v>
      </c>
      <c r="I30" s="2">
        <f t="shared" si="24"/>
        <v>0.4</v>
      </c>
      <c r="J30" s="2">
        <f t="shared" si="25"/>
        <v>-1.321928095</v>
      </c>
      <c r="K30" s="2">
        <f t="shared" si="26"/>
        <v>0.528771238</v>
      </c>
    </row>
    <row r="31">
      <c r="A31" s="1" t="s">
        <v>6</v>
      </c>
      <c r="B31" s="1">
        <v>4.0</v>
      </c>
      <c r="C31" s="1">
        <v>10.0</v>
      </c>
      <c r="D31" s="2">
        <f t="shared" si="22"/>
        <v>0.4</v>
      </c>
      <c r="E31" s="2">
        <f t="shared" si="27"/>
        <v>-1.321928095</v>
      </c>
      <c r="F31" s="2">
        <f t="shared" si="23"/>
        <v>0.528771238</v>
      </c>
      <c r="G31" s="1">
        <v>0.0</v>
      </c>
      <c r="H31" s="1">
        <v>5.0</v>
      </c>
      <c r="I31" s="2">
        <f t="shared" si="24"/>
        <v>0</v>
      </c>
      <c r="J31" s="1">
        <v>0.0</v>
      </c>
      <c r="K31" s="2">
        <f t="shared" si="26"/>
        <v>0</v>
      </c>
      <c r="M31" s="1" t="s">
        <v>9</v>
      </c>
    </row>
    <row r="32">
      <c r="A32" s="1">
        <v>15.0</v>
      </c>
      <c r="C32" s="1">
        <v>10.0</v>
      </c>
      <c r="F32" s="2">
        <f>SUM(F28:F31)</f>
        <v>0.9709505945</v>
      </c>
      <c r="H32" s="1">
        <v>5.0</v>
      </c>
      <c r="K32" s="2">
        <f>SUM(K28:K31)</f>
        <v>0.9709505945</v>
      </c>
      <c r="L32" s="2">
        <f>(C32*F32+H32*K32)/A32</f>
        <v>0.9709505945</v>
      </c>
      <c r="M32" s="6">
        <f>Q4-L32</f>
        <v>0.4856141677</v>
      </c>
    </row>
  </sheetData>
  <drawing r:id="rId1"/>
</worksheet>
</file>